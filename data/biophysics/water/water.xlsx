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ter" sheetId="1" state="visible" r:id="rId3"/>
  </sheets>
  <definedNames>
    <definedName function="false" hidden="true" localSheetId="0" name="_xlnm._FilterDatabase" vbProcedure="false">Water!$B$1:$B$78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<sst xmlns="http://schemas.openxmlformats.org/spreadsheetml/2006/main" count="188" uniqueCount="106">
  <si>
    <t xml:space="preserve">Water System</t>
  </si>
  <si>
    <t xml:space="preserve">County</t>
  </si>
  <si>
    <t xml:space="preserve">Res Water Rate (6k gal)</t>
  </si>
  <si>
    <t xml:space="preserve">Comm Water Rate (6k gal)</t>
  </si>
  <si>
    <t xml:space="preserve">Avg. Res rate </t>
  </si>
  <si>
    <t xml:space="preserve">Avg. Comm rate</t>
  </si>
  <si>
    <t xml:space="preserve">DESERT PALMS MOBILE HOME PARK</t>
  </si>
  <si>
    <t xml:space="preserve">BERNALILLO</t>
  </si>
  <si>
    <t xml:space="preserve">N/A</t>
  </si>
  <si>
    <t xml:space="preserve">ENTRANOSA WATER ASSOCIATION</t>
  </si>
  <si>
    <t xml:space="preserve">FOX HILLS WATER USERS ASSOC</t>
  </si>
  <si>
    <t xml:space="preserve">GREEN ACRES MOBILE HOME VILLAGE</t>
  </si>
  <si>
    <t xml:space="preserve">TIJERAS WATER COOPERATIVE</t>
  </si>
  <si>
    <t xml:space="preserve">TRANQUILLO PINES WATER COOP</t>
  </si>
  <si>
    <t xml:space="preserve">Aragon MDWCA</t>
  </si>
  <si>
    <t xml:space="preserve">Catron</t>
  </si>
  <si>
    <t xml:space="preserve">Fambrough MDWCA</t>
  </si>
  <si>
    <t xml:space="preserve">Chaves</t>
  </si>
  <si>
    <t xml:space="preserve">BERRENDO COOPERATIVE WUA</t>
  </si>
  <si>
    <t xml:space="preserve">CHAVES</t>
  </si>
  <si>
    <t xml:space="preserve">Bluewater Acres WUA</t>
  </si>
  <si>
    <t xml:space="preserve">Cibola</t>
  </si>
  <si>
    <t xml:space="preserve">Bluewater Water And Sanitation District</t>
  </si>
  <si>
    <t xml:space="preserve">Anthony W&amp;SD</t>
  </si>
  <si>
    <t xml:space="preserve">Dona Ana</t>
  </si>
  <si>
    <t xml:space="preserve">Chamberino MDWC &amp; Sa</t>
  </si>
  <si>
    <t xml:space="preserve">Dona Ana MDWCA</t>
  </si>
  <si>
    <t xml:space="preserve">Garfield MDWCA</t>
  </si>
  <si>
    <t xml:space="preserve">Las Cruces Municipal Water System</t>
  </si>
  <si>
    <t xml:space="preserve">MOONGATE WATER SYSTEM</t>
  </si>
  <si>
    <t xml:space="preserve">Artesia Municipal Water System</t>
  </si>
  <si>
    <t xml:space="preserve">Eddy</t>
  </si>
  <si>
    <t xml:space="preserve">Carlsbad Municipal Water System</t>
  </si>
  <si>
    <t xml:space="preserve">Cottonwood Water MDWCA</t>
  </si>
  <si>
    <t xml:space="preserve">ARTESIA RURAL WATER COOPERATIVE</t>
  </si>
  <si>
    <t xml:space="preserve">CAPROCK WATER COMPANY</t>
  </si>
  <si>
    <t xml:space="preserve">Arenas Valley MDWCA</t>
  </si>
  <si>
    <t xml:space="preserve">Grant</t>
  </si>
  <si>
    <t xml:space="preserve">Silver City Water System</t>
  </si>
  <si>
    <t xml:space="preserve">GLEN ACRES WATER COOP</t>
  </si>
  <si>
    <t xml:space="preserve">HIDALGO</t>
  </si>
  <si>
    <t xml:space="preserve">Eunice Water Supply System</t>
  </si>
  <si>
    <t xml:space="preserve">Lea</t>
  </si>
  <si>
    <t xml:space="preserve">Capitan Water System</t>
  </si>
  <si>
    <t xml:space="preserve">Lincoln</t>
  </si>
  <si>
    <t xml:space="preserve">Corona Water System</t>
  </si>
  <si>
    <t xml:space="preserve">ALPINE VILLAGE W AND SD</t>
  </si>
  <si>
    <t xml:space="preserve">ALTO NORTH WATER COOP</t>
  </si>
  <si>
    <t xml:space="preserve">BONITA PARK NAZARENE</t>
  </si>
  <si>
    <t xml:space="preserve">CDS RAINMAKERS UTIL LLC</t>
  </si>
  <si>
    <t xml:space="preserve">Los Alamos Municipal Water System</t>
  </si>
  <si>
    <t xml:space="preserve">Los Alamos</t>
  </si>
  <si>
    <t xml:space="preserve">Cider Mill Farms MDWCA</t>
  </si>
  <si>
    <t xml:space="preserve">Otero</t>
  </si>
  <si>
    <t xml:space="preserve">Cloudcroft Water System</t>
  </si>
  <si>
    <t xml:space="preserve">BOLES ACRES WATER SYSTEM</t>
  </si>
  <si>
    <t xml:space="preserve">CLOUD COUNTRY WEST</t>
  </si>
  <si>
    <t xml:space="preserve">Canjilon Water System</t>
  </si>
  <si>
    <t xml:space="preserve">Rio Arriba</t>
  </si>
  <si>
    <t xml:space="preserve">Chama West Water Users Association</t>
  </si>
  <si>
    <t xml:space="preserve">El Rito Canyon MDWCA</t>
  </si>
  <si>
    <t xml:space="preserve">El Rito Regional Water &amp; Waste Water Asn</t>
  </si>
  <si>
    <t xml:space="preserve">Causey Water System</t>
  </si>
  <si>
    <t xml:space="preserve">Roosevelt</t>
  </si>
  <si>
    <t xml:space="preserve">Floyd WS Village of</t>
  </si>
  <si>
    <t xml:space="preserve">ROOSEVELT COUNTY WUA</t>
  </si>
  <si>
    <t xml:space="preserve">Apple Orchard MDWCA</t>
  </si>
  <si>
    <t xml:space="preserve">San Juan</t>
  </si>
  <si>
    <t xml:space="preserve">Bloomfield Water Supply System</t>
  </si>
  <si>
    <t xml:space="preserve">Flora Vista Mutual Domestic</t>
  </si>
  <si>
    <t xml:space="preserve">Big Mesa Water MDWCA</t>
  </si>
  <si>
    <t xml:space="preserve">San Miguel</t>
  </si>
  <si>
    <t xml:space="preserve">Chapelle MDWCA</t>
  </si>
  <si>
    <t xml:space="preserve">East Pecos MDWCA</t>
  </si>
  <si>
    <t xml:space="preserve">El Ancon MDWCA</t>
  </si>
  <si>
    <t xml:space="preserve">El Coruco MDWCA</t>
  </si>
  <si>
    <t xml:space="preserve">Las Vegas (City Of)</t>
  </si>
  <si>
    <t xml:space="preserve">Algodones WUA</t>
  </si>
  <si>
    <t xml:space="preserve">Sandoval</t>
  </si>
  <si>
    <t xml:space="preserve">Canon MDWCA</t>
  </si>
  <si>
    <t xml:space="preserve">Cuba Water System</t>
  </si>
  <si>
    <t xml:space="preserve">CEDAR CREEK WATER CO-OP</t>
  </si>
  <si>
    <t xml:space="preserve">Agua Fria Water Association</t>
  </si>
  <si>
    <t xml:space="preserve">Santa Fe</t>
  </si>
  <si>
    <t xml:space="preserve">Buckman Regional Water Treatment Plant</t>
  </si>
  <si>
    <t xml:space="preserve">6,000 Gal. WATER Rate / Month Dec. 2024</t>
  </si>
  <si>
    <t xml:space="preserve">Canada De Los Alamos MDWCA</t>
  </si>
  <si>
    <t xml:space="preserve">Canoncito At Apache Canyon</t>
  </si>
  <si>
    <t xml:space="preserve">El Vadito De Los Cerrillos Water Assoc</t>
  </si>
  <si>
    <t xml:space="preserve">Eldorado Area Water and Sanitation Dist.</t>
  </si>
  <si>
    <t xml:space="preserve">Galisteo MDWCA</t>
  </si>
  <si>
    <t xml:space="preserve">LAS CAMPANAS WATER SYSTEM</t>
  </si>
  <si>
    <t xml:space="preserve">SUNLIT HILLS WATER SYSTEM</t>
  </si>
  <si>
    <t xml:space="preserve">Cerro Regional MDWCA/SWA</t>
  </si>
  <si>
    <t xml:space="preserve">Taos</t>
  </si>
  <si>
    <t xml:space="preserve">Chamisal MDWCA</t>
  </si>
  <si>
    <t xml:space="preserve">El Prado Water &amp; Sanitation District</t>
  </si>
  <si>
    <t xml:space="preserve">El Valle De Los Ranchos W &amp; SD</t>
  </si>
  <si>
    <t xml:space="preserve">Taos Municipal Water System</t>
  </si>
  <si>
    <t xml:space="preserve">Encino Water System</t>
  </si>
  <si>
    <t xml:space="preserve">Torrance</t>
  </si>
  <si>
    <t xml:space="preserve">HOMESTEAD WATER COMPANY</t>
  </si>
  <si>
    <t xml:space="preserve">Bosque Farms Water Supply System</t>
  </si>
  <si>
    <t xml:space="preserve">Valencia</t>
  </si>
  <si>
    <t xml:space="preserve">Correo Water Association</t>
  </si>
  <si>
    <t xml:space="preserve">Los Lunas Water System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</si>
</sst>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\$#,##0.00_);[RED]&quot;($&quot;#,##0.00\)"/>
    <numFmt numFmtId="167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3.51"/>
    <col collapsed="false" customWidth="true" hidden="false" outlineLevel="0" max="2" min="2" style="0" width="43"/>
    <col collapsed="false" customWidth="true" hidden="false" outlineLevel="0" max="3" min="3" style="0" width="25.33"/>
    <col collapsed="false" customWidth="true" hidden="false" outlineLevel="0" max="4" min="4" style="0" width="27.83"/>
    <col collapsed="false" customWidth="true" hidden="false" outlineLevel="0" max="5" min="5" style="1" width="25.67"/>
    <col collapsed="false" customWidth="true" hidden="false" outlineLevel="0" max="6" min="6" style="0" width="27.5"/>
    <col collapsed="false" customWidth="true" hidden="false" outlineLevel="0" max="11" min="11" style="0" width="15.83"/>
    <col collapsed="false" customWidth="true" hidden="false" outlineLevel="0" max="12" min="12" style="0" width="14.83"/>
    <col collapsed="false" customWidth="true" hidden="false" outlineLevel="0" max="13" min="13" style="0" width="14.16"/>
  </cols>
  <sheetData>
    <row r="1" customFormat="false" ht="15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8</v>
      </c>
      <c r="E2" s="3" t="n">
        <f aca="false">($C$4+$C$3+$C$6+$C$7)/4</f>
        <v>98.85</v>
      </c>
      <c r="F2" s="3" t="n">
        <f aca="false">($D$3+$D$6+$D$7)/3</f>
        <v>131.066666666667</v>
      </c>
      <c r="K2" s="4"/>
      <c r="L2" s="4"/>
      <c r="M2" s="4"/>
    </row>
    <row r="3" customFormat="false" ht="15" hidden="false" customHeight="false" outlineLevel="0" collapsed="false">
      <c r="A3" s="0" t="s">
        <v>9</v>
      </c>
      <c r="B3" s="0" t="s">
        <v>7</v>
      </c>
      <c r="C3" s="3" t="n">
        <v>59.68</v>
      </c>
      <c r="D3" s="3" t="n">
        <v>59.68</v>
      </c>
      <c r="E3" s="3" t="n">
        <f aca="false">($C$4+$C$3+$C$6+$C$7)/4</f>
        <v>98.85</v>
      </c>
      <c r="F3" s="3" t="n">
        <f aca="false">($D$3+$D$6+$D$7)/3</f>
        <v>131.066666666667</v>
      </c>
      <c r="K3" s="4"/>
      <c r="L3" s="4"/>
      <c r="M3" s="4"/>
    </row>
    <row r="4" customFormat="false" ht="15" hidden="false" customHeight="false" outlineLevel="0" collapsed="false">
      <c r="A4" s="0" t="s">
        <v>10</v>
      </c>
      <c r="B4" s="0" t="s">
        <v>7</v>
      </c>
      <c r="C4" s="3" t="n">
        <v>43</v>
      </c>
      <c r="D4" s="2" t="s">
        <v>8</v>
      </c>
      <c r="E4" s="3" t="n">
        <f aca="false">($C$4+$C$3+$C$6+$C$7)/4</f>
        <v>98.85</v>
      </c>
      <c r="F4" s="3" t="n">
        <f aca="false">($D$3+$D$6+$D$7)/3</f>
        <v>131.066666666667</v>
      </c>
      <c r="H4" s="3"/>
      <c r="I4" s="4"/>
      <c r="K4" s="4"/>
      <c r="L4" s="4"/>
      <c r="M4" s="4"/>
    </row>
    <row r="5" customFormat="false" ht="15" hidden="false" customHeight="false" outlineLevel="0" collapsed="false">
      <c r="A5" s="0" t="s">
        <v>11</v>
      </c>
      <c r="B5" s="0" t="s">
        <v>7</v>
      </c>
      <c r="C5" s="0" t="s">
        <v>8</v>
      </c>
      <c r="D5" s="0" t="s">
        <v>8</v>
      </c>
      <c r="E5" s="3" t="n">
        <f aca="false">($C$4+$C$3+$C$6+$C$7)/4</f>
        <v>98.85</v>
      </c>
      <c r="F5" s="3" t="n">
        <f aca="false">($D$3+$D$6+$D$7)/3</f>
        <v>131.066666666667</v>
      </c>
      <c r="K5" s="4"/>
      <c r="L5" s="4"/>
      <c r="M5" s="4"/>
    </row>
    <row r="6" customFormat="false" ht="15" hidden="false" customHeight="false" outlineLevel="0" collapsed="false">
      <c r="A6" s="0" t="s">
        <v>12</v>
      </c>
      <c r="B6" s="0" t="s">
        <v>7</v>
      </c>
      <c r="C6" s="3" t="n">
        <v>81.6</v>
      </c>
      <c r="D6" s="3" t="n">
        <v>122.4</v>
      </c>
      <c r="E6" s="3" t="n">
        <f aca="false">($C$4+$C$3+$C$6+$C$7)/4</f>
        <v>98.85</v>
      </c>
      <c r="F6" s="3" t="n">
        <f aca="false">($D$3+$D$6+$D$7)/3</f>
        <v>131.066666666667</v>
      </c>
      <c r="K6" s="4"/>
      <c r="L6" s="4"/>
      <c r="M6" s="4"/>
    </row>
    <row r="7" customFormat="false" ht="15" hidden="false" customHeight="false" outlineLevel="0" collapsed="false">
      <c r="A7" s="0" t="s">
        <v>13</v>
      </c>
      <c r="B7" s="0" t="s">
        <v>7</v>
      </c>
      <c r="C7" s="3" t="n">
        <v>211.12</v>
      </c>
      <c r="D7" s="3" t="n">
        <v>211.12</v>
      </c>
      <c r="E7" s="3" t="n">
        <f aca="false">($C$4+$C$3+$C$6+$C$7)/4</f>
        <v>98.85</v>
      </c>
      <c r="F7" s="3" t="n">
        <f aca="false">($D$3+$D$6+$D$7)/3</f>
        <v>131.066666666667</v>
      </c>
      <c r="K7" s="4"/>
      <c r="L7" s="4"/>
      <c r="M7" s="4"/>
    </row>
    <row r="8" customFormat="false" ht="15" hidden="false" customHeight="false" outlineLevel="0" collapsed="false">
      <c r="A8" s="0" t="s">
        <v>14</v>
      </c>
      <c r="B8" s="0" t="s">
        <v>15</v>
      </c>
      <c r="C8" s="3" t="n">
        <v>47.31</v>
      </c>
      <c r="D8" s="3" t="n">
        <v>47.31</v>
      </c>
      <c r="E8" s="3" t="n">
        <v>47.31</v>
      </c>
      <c r="F8" s="3" t="n">
        <v>47.31</v>
      </c>
      <c r="H8" s="3"/>
      <c r="I8" s="4"/>
    </row>
    <row r="9" customFormat="false" ht="15" hidden="false" customHeight="false" outlineLevel="0" collapsed="false">
      <c r="A9" s="0" t="s">
        <v>16</v>
      </c>
      <c r="B9" s="0" t="s">
        <v>17</v>
      </c>
      <c r="C9" s="3" t="n">
        <v>58.43</v>
      </c>
      <c r="D9" s="2" t="s">
        <v>8</v>
      </c>
      <c r="E9" s="1" t="n">
        <f aca="false">SUM($C$10:$C$11)/2</f>
        <v>39.94</v>
      </c>
      <c r="F9" s="2" t="s">
        <v>8</v>
      </c>
      <c r="K9" s="4"/>
      <c r="L9" s="4"/>
      <c r="M9" s="4"/>
    </row>
    <row r="10" customFormat="false" ht="15" hidden="false" customHeight="false" outlineLevel="0" collapsed="false">
      <c r="A10" s="0" t="s">
        <v>18</v>
      </c>
      <c r="B10" s="0" t="s">
        <v>19</v>
      </c>
      <c r="C10" s="3" t="n">
        <v>30</v>
      </c>
      <c r="D10" s="2" t="s">
        <v>8</v>
      </c>
      <c r="E10" s="1" t="n">
        <f aca="false">SUM($C$10:$C$11)/2</f>
        <v>39.94</v>
      </c>
      <c r="F10" s="2" t="s">
        <v>8</v>
      </c>
      <c r="H10" s="3"/>
      <c r="I10" s="4"/>
      <c r="K10" s="4"/>
      <c r="L10" s="4"/>
      <c r="M10" s="4"/>
    </row>
    <row r="11" customFormat="false" ht="15" hidden="false" customHeight="false" outlineLevel="0" collapsed="false">
      <c r="A11" s="0" t="s">
        <v>20</v>
      </c>
      <c r="B11" s="0" t="s">
        <v>21</v>
      </c>
      <c r="C11" s="3" t="n">
        <v>49.88</v>
      </c>
      <c r="D11" s="2" t="s">
        <v>8</v>
      </c>
      <c r="E11" s="3" t="n">
        <f aca="false">($C$12+$C$11)/2</f>
        <v>54.615</v>
      </c>
      <c r="F11" s="3" t="n">
        <v>90.8</v>
      </c>
      <c r="K11" s="4"/>
      <c r="L11" s="4"/>
      <c r="M11" s="4"/>
    </row>
    <row r="12" customFormat="false" ht="15" hidden="false" customHeight="false" outlineLevel="0" collapsed="false">
      <c r="A12" s="0" t="s">
        <v>22</v>
      </c>
      <c r="B12" s="0" t="s">
        <v>21</v>
      </c>
      <c r="C12" s="3" t="n">
        <v>59.35</v>
      </c>
      <c r="D12" s="3" t="n">
        <v>90.8</v>
      </c>
      <c r="E12" s="3" t="n">
        <f aca="false">($C$12+$C$11)/2</f>
        <v>54.615</v>
      </c>
      <c r="F12" s="3" t="n">
        <v>90.8</v>
      </c>
      <c r="G12" s="3"/>
      <c r="H12" s="3"/>
      <c r="K12" s="4"/>
      <c r="L12" s="4"/>
      <c r="M12" s="4"/>
    </row>
    <row r="13" customFormat="false" ht="15" hidden="false" customHeight="false" outlineLevel="0" collapsed="false">
      <c r="A13" s="0" t="s">
        <v>23</v>
      </c>
      <c r="B13" s="0" t="s">
        <v>24</v>
      </c>
      <c r="C13" s="3" t="n">
        <v>40.28</v>
      </c>
      <c r="D13" s="3" t="n">
        <v>57.66</v>
      </c>
      <c r="E13" s="1" t="n">
        <f aca="false">($C$13+$C$14+$C$15+$C$16+$C$18+$C$17)/6</f>
        <v>32.7633333333333</v>
      </c>
      <c r="F13" s="3" t="n">
        <f aca="false">($D$13+$D$14+$D$15+$D$17+$D$16+$D$18)/6</f>
        <v>39.0516666666667</v>
      </c>
      <c r="H13" s="3"/>
      <c r="I13" s="4"/>
      <c r="K13" s="4"/>
      <c r="L13" s="4"/>
      <c r="M13" s="4"/>
    </row>
    <row r="14" customFormat="false" ht="15" hidden="false" customHeight="false" outlineLevel="0" collapsed="false">
      <c r="A14" s="0" t="s">
        <v>25</v>
      </c>
      <c r="B14" s="0" t="s">
        <v>24</v>
      </c>
      <c r="C14" s="3" t="n">
        <v>42.85</v>
      </c>
      <c r="D14" s="3" t="n">
        <v>57.66</v>
      </c>
      <c r="E14" s="1" t="n">
        <f aca="false">($C$13+$C$14+$C$15+$C$16+$C$18+$C$17)/6</f>
        <v>32.7633333333333</v>
      </c>
      <c r="F14" s="3" t="n">
        <f aca="false">($D$13+$D$14+$D$15+$D$17+$D$16+$D$18)/6</f>
        <v>39.0516666666667</v>
      </c>
      <c r="K14" s="4"/>
      <c r="L14" s="4"/>
      <c r="M14" s="4"/>
    </row>
    <row r="15" customFormat="false" ht="15" hidden="false" customHeight="false" outlineLevel="0" collapsed="false">
      <c r="A15" s="0" t="s">
        <v>26</v>
      </c>
      <c r="B15" s="0" t="s">
        <v>24</v>
      </c>
      <c r="C15" s="3" t="n">
        <v>40.3</v>
      </c>
      <c r="D15" s="3" t="n">
        <v>40.3</v>
      </c>
      <c r="E15" s="1" t="n">
        <f aca="false">($C$13+$C$14+$C$15+$C$16+$C$18+$C$17)/6</f>
        <v>32.7633333333333</v>
      </c>
      <c r="F15" s="3" t="n">
        <f aca="false">($D$13+$D$14+$D$15+$D$17+$D$16+$D$18)/6</f>
        <v>39.0516666666667</v>
      </c>
      <c r="G15" s="3"/>
    </row>
    <row r="16" customFormat="false" ht="15" hidden="false" customHeight="false" outlineLevel="0" collapsed="false">
      <c r="A16" s="0" t="s">
        <v>27</v>
      </c>
      <c r="B16" s="0" t="s">
        <v>24</v>
      </c>
      <c r="C16" s="3" t="n">
        <v>35.5</v>
      </c>
      <c r="D16" s="3" t="n">
        <v>35.5</v>
      </c>
      <c r="E16" s="1" t="n">
        <f aca="false">($C$13+$C$14+$C$15+$C$16+$C$18+$C$17)/6</f>
        <v>32.7633333333333</v>
      </c>
      <c r="F16" s="3" t="n">
        <f aca="false">($D$13+$D$14+$D$15+$D$17+$D$16+$D$18)/6</f>
        <v>39.0516666666667</v>
      </c>
      <c r="K16" s="4"/>
      <c r="L16" s="4"/>
      <c r="M16" s="4"/>
    </row>
    <row r="17" customFormat="false" ht="15" hidden="false" customHeight="false" outlineLevel="0" collapsed="false">
      <c r="A17" s="0" t="s">
        <v>28</v>
      </c>
      <c r="B17" s="0" t="s">
        <v>24</v>
      </c>
      <c r="C17" s="3" t="n">
        <v>22.15</v>
      </c>
      <c r="D17" s="3" t="n">
        <v>27.69</v>
      </c>
      <c r="E17" s="1" t="n">
        <f aca="false">($C$13+$C$14+$C$15+$C$16+$C$18+$C$17)/6</f>
        <v>32.7633333333333</v>
      </c>
      <c r="F17" s="3" t="n">
        <f aca="false">($D$13+$D$14+$D$15+$D$17+$D$16+$D$18)/6</f>
        <v>39.0516666666667</v>
      </c>
      <c r="G17" s="3"/>
      <c r="K17" s="4"/>
      <c r="L17" s="4"/>
      <c r="M17" s="4"/>
    </row>
    <row r="18" customFormat="false" ht="15" hidden="false" customHeight="false" outlineLevel="0" collapsed="false">
      <c r="A18" s="0" t="s">
        <v>29</v>
      </c>
      <c r="B18" s="0" t="s">
        <v>24</v>
      </c>
      <c r="C18" s="3" t="n">
        <v>15.5</v>
      </c>
      <c r="D18" s="3" t="n">
        <v>15.5</v>
      </c>
      <c r="E18" s="1" t="n">
        <f aca="false">($C$13+$C$14+$C$15+$C$16+$C$18+$C$17)/6</f>
        <v>32.7633333333333</v>
      </c>
      <c r="F18" s="3" t="n">
        <f aca="false">($D$13+$D$14+$D$15+$D$17+$D$16+$D$18)/6</f>
        <v>39.0516666666667</v>
      </c>
    </row>
    <row r="19" customFormat="false" ht="15" hidden="false" customHeight="false" outlineLevel="0" collapsed="false">
      <c r="A19" s="0" t="s">
        <v>30</v>
      </c>
      <c r="B19" s="0" t="s">
        <v>31</v>
      </c>
      <c r="C19" s="3" t="n">
        <v>10.02</v>
      </c>
      <c r="D19" s="3" t="n">
        <v>21.52</v>
      </c>
      <c r="E19" s="1" t="n">
        <f aca="false">($C$19+$C$20+$C$21+$C$22+$C$23)/5</f>
        <v>32.022</v>
      </c>
      <c r="F19" s="1" t="n">
        <f aca="false">($D$19+$D$20+$D$21+$D$22+$D$23)/5</f>
        <v>43.092</v>
      </c>
      <c r="G19" s="3"/>
      <c r="H19" s="3"/>
      <c r="K19" s="4"/>
      <c r="L19" s="4"/>
      <c r="M19" s="4"/>
    </row>
    <row r="20" customFormat="false" ht="15" hidden="false" customHeight="false" outlineLevel="0" collapsed="false">
      <c r="A20" s="0" t="s">
        <v>32</v>
      </c>
      <c r="B20" s="0" t="s">
        <v>31</v>
      </c>
      <c r="C20" s="3" t="n">
        <v>17.45</v>
      </c>
      <c r="D20" s="3" t="n">
        <v>20.66</v>
      </c>
      <c r="E20" s="1" t="n">
        <f aca="false">($C$19+$C$20+$C$21+$C$22+$C$23)/5</f>
        <v>32.022</v>
      </c>
      <c r="F20" s="1" t="n">
        <f aca="false">($D$19+$D$20+$D$21+$D$22+$D$23)/5</f>
        <v>43.092</v>
      </c>
      <c r="G20" s="3"/>
      <c r="H20" s="3"/>
      <c r="I20" s="4"/>
      <c r="J20" s="4"/>
      <c r="K20" s="4"/>
      <c r="L20" s="4"/>
      <c r="M20" s="4"/>
    </row>
    <row r="21" customFormat="false" ht="15" hidden="false" customHeight="false" outlineLevel="0" collapsed="false">
      <c r="A21" s="0" t="s">
        <v>33</v>
      </c>
      <c r="B21" s="0" t="s">
        <v>31</v>
      </c>
      <c r="C21" s="3" t="n">
        <v>54.89</v>
      </c>
      <c r="D21" s="3" t="n">
        <v>61.43</v>
      </c>
      <c r="E21" s="1" t="n">
        <f aca="false">($C$19+$C$20+$C$21+$C$22+$C$23)/5</f>
        <v>32.022</v>
      </c>
      <c r="F21" s="1" t="n">
        <f aca="false">($D$19+$D$20+$D$21+$D$22+$D$23)/5</f>
        <v>43.092</v>
      </c>
      <c r="G21" s="3"/>
      <c r="K21" s="4"/>
      <c r="L21" s="4"/>
      <c r="M21" s="4"/>
    </row>
    <row r="22" customFormat="false" ht="15" hidden="false" customHeight="false" outlineLevel="0" collapsed="false">
      <c r="A22" s="0" t="s">
        <v>34</v>
      </c>
      <c r="B22" s="0" t="s">
        <v>31</v>
      </c>
      <c r="C22" s="3" t="n">
        <v>42.91</v>
      </c>
      <c r="D22" s="3" t="n">
        <v>77.01</v>
      </c>
      <c r="E22" s="1" t="n">
        <f aca="false">($C$19+$C$20+$C$21+$C$22+$C$23)/5</f>
        <v>32.022</v>
      </c>
      <c r="F22" s="1" t="n">
        <f aca="false">($D$19+$D$20+$D$21+$D$22+$D$23)/5</f>
        <v>43.092</v>
      </c>
      <c r="K22" s="4"/>
      <c r="L22" s="4"/>
      <c r="M22" s="4"/>
    </row>
    <row r="23" customFormat="false" ht="15" hidden="false" customHeight="false" outlineLevel="0" collapsed="false">
      <c r="A23" s="0" t="s">
        <v>35</v>
      </c>
      <c r="B23" s="0" t="s">
        <v>31</v>
      </c>
      <c r="C23" s="3" t="n">
        <v>34.84</v>
      </c>
      <c r="D23" s="3" t="n">
        <v>34.84</v>
      </c>
      <c r="E23" s="1" t="n">
        <f aca="false">($C$19+$C$20+$C$21+$C$22+$C$23)/5</f>
        <v>32.022</v>
      </c>
      <c r="F23" s="1" t="n">
        <f aca="false">($D$19+$D$20+$D$21+$D$22+$D$23)/5</f>
        <v>43.092</v>
      </c>
      <c r="K23" s="4"/>
      <c r="L23" s="4"/>
      <c r="M23" s="4"/>
    </row>
    <row r="24" customFormat="false" ht="15" hidden="false" customHeight="false" outlineLevel="0" collapsed="false">
      <c r="A24" s="0" t="s">
        <v>36</v>
      </c>
      <c r="B24" s="0" t="s">
        <v>37</v>
      </c>
      <c r="C24" s="3" t="n">
        <v>49.56</v>
      </c>
      <c r="D24" s="3" t="n">
        <v>49.56</v>
      </c>
      <c r="E24" s="1" t="n">
        <f aca="false">($C$24+$C$25)/2</f>
        <v>43.77</v>
      </c>
      <c r="F24" s="1" t="n">
        <f aca="false">($D$24+$D$25)/2</f>
        <v>43.77</v>
      </c>
      <c r="G24" s="3"/>
      <c r="K24" s="4"/>
      <c r="L24" s="4"/>
      <c r="M24" s="4"/>
    </row>
    <row r="25" customFormat="false" ht="15" hidden="false" customHeight="false" outlineLevel="0" collapsed="false">
      <c r="A25" s="0" t="s">
        <v>38</v>
      </c>
      <c r="B25" s="0" t="s">
        <v>37</v>
      </c>
      <c r="C25" s="3" t="n">
        <v>37.98</v>
      </c>
      <c r="D25" s="3" t="n">
        <v>37.98</v>
      </c>
      <c r="E25" s="1" t="n">
        <f aca="false">($C$24+$C$25)/2</f>
        <v>43.77</v>
      </c>
      <c r="F25" s="1" t="n">
        <f aca="false">($D$24+$D$25)/2</f>
        <v>43.77</v>
      </c>
      <c r="K25" s="4"/>
      <c r="L25" s="4"/>
      <c r="M25" s="4"/>
    </row>
    <row r="26" customFormat="false" ht="15" hidden="false" customHeight="false" outlineLevel="0" collapsed="false">
      <c r="A26" s="0" t="s">
        <v>39</v>
      </c>
      <c r="B26" s="0" t="s">
        <v>40</v>
      </c>
      <c r="C26" s="3" t="n">
        <v>59.59</v>
      </c>
      <c r="D26" s="3" t="n">
        <v>420</v>
      </c>
      <c r="E26" s="3" t="n">
        <v>59.59</v>
      </c>
      <c r="F26" s="3" t="n">
        <v>420</v>
      </c>
      <c r="G26" s="3"/>
      <c r="K26" s="4"/>
      <c r="L26" s="4"/>
      <c r="M26" s="4"/>
    </row>
    <row r="27" customFormat="false" ht="15" hidden="false" customHeight="false" outlineLevel="0" collapsed="false">
      <c r="A27" s="0" t="s">
        <v>41</v>
      </c>
      <c r="B27" s="0" t="s">
        <v>42</v>
      </c>
      <c r="C27" s="3" t="n">
        <v>19.36</v>
      </c>
      <c r="D27" s="3" t="n">
        <v>31.38</v>
      </c>
      <c r="E27" s="3" t="n">
        <v>19.36</v>
      </c>
      <c r="F27" s="3" t="n">
        <v>31.38</v>
      </c>
      <c r="K27" s="4"/>
      <c r="L27" s="4"/>
      <c r="M27" s="4"/>
    </row>
    <row r="28" customFormat="false" ht="15" hidden="false" customHeight="false" outlineLevel="0" collapsed="false">
      <c r="A28" s="0" t="s">
        <v>43</v>
      </c>
      <c r="B28" s="0" t="s">
        <v>44</v>
      </c>
      <c r="C28" s="3" t="n">
        <v>44.28</v>
      </c>
      <c r="D28" s="3" t="n">
        <v>68.35</v>
      </c>
      <c r="E28" s="3" t="n">
        <f aca="false">($C$28+$C$29+$C$30+$C$31+$C$32+$C$33)/6</f>
        <v>33.805</v>
      </c>
      <c r="F28" s="3" t="n">
        <f aca="false">($D$28+$D$29+$D$31+$D$33)/4</f>
        <v>51.3075</v>
      </c>
      <c r="G28" s="3"/>
      <c r="H28" s="3"/>
      <c r="I28" s="4"/>
      <c r="K28" s="4"/>
      <c r="L28" s="4"/>
      <c r="M28" s="4"/>
    </row>
    <row r="29" customFormat="false" ht="15" hidden="false" customHeight="false" outlineLevel="0" collapsed="false">
      <c r="A29" s="0" t="s">
        <v>45</v>
      </c>
      <c r="B29" s="0" t="s">
        <v>44</v>
      </c>
      <c r="C29" s="3" t="n">
        <v>32.19</v>
      </c>
      <c r="D29" s="3" t="n">
        <v>32.19</v>
      </c>
      <c r="E29" s="3" t="n">
        <f aca="false">($C$28+$C$29+$C$30+$C$31+$C$32+$C$33)/6</f>
        <v>33.805</v>
      </c>
      <c r="F29" s="3" t="n">
        <f aca="false">($D$28+$D$29+$D$31+$D$33)/4</f>
        <v>51.3075</v>
      </c>
      <c r="G29" s="3"/>
      <c r="K29" s="4"/>
      <c r="L29" s="4"/>
      <c r="M29" s="4"/>
    </row>
    <row r="30" customFormat="false" ht="15" hidden="false" customHeight="false" outlineLevel="0" collapsed="false">
      <c r="A30" s="0" t="s">
        <v>46</v>
      </c>
      <c r="B30" s="0" t="s">
        <v>44</v>
      </c>
      <c r="C30" s="3" t="n">
        <v>18</v>
      </c>
      <c r="D30" s="2" t="s">
        <v>8</v>
      </c>
      <c r="E30" s="3" t="n">
        <f aca="false">($C$28+$C$29+$C$30+$C$31+$C$32+$C$33)/6</f>
        <v>33.805</v>
      </c>
      <c r="F30" s="3" t="n">
        <f aca="false">($D$28+$D$29+$D$31+$D$33)/4</f>
        <v>51.3075</v>
      </c>
      <c r="G30" s="3"/>
    </row>
    <row r="31" customFormat="false" ht="15" hidden="false" customHeight="false" outlineLevel="0" collapsed="false">
      <c r="A31" s="0" t="s">
        <v>47</v>
      </c>
      <c r="B31" s="0" t="s">
        <v>44</v>
      </c>
      <c r="C31" s="3" t="n">
        <v>55</v>
      </c>
      <c r="D31" s="3" t="n">
        <v>60</v>
      </c>
      <c r="E31" s="3" t="n">
        <f aca="false">($C$28+$C$29+$C$30+$C$31+$C$32+$C$33)/6</f>
        <v>33.805</v>
      </c>
      <c r="F31" s="3" t="n">
        <f aca="false">($D$28+$D$29+$D$31+$D$33)/4</f>
        <v>51.3075</v>
      </c>
      <c r="K31" s="4"/>
      <c r="L31" s="4"/>
      <c r="M31" s="4"/>
    </row>
    <row r="32" customFormat="false" ht="15" hidden="false" customHeight="false" outlineLevel="0" collapsed="false">
      <c r="A32" s="0" t="s">
        <v>48</v>
      </c>
      <c r="B32" s="0" t="s">
        <v>44</v>
      </c>
      <c r="C32" s="3" t="n">
        <v>8.67</v>
      </c>
      <c r="D32" s="2" t="s">
        <v>8</v>
      </c>
      <c r="E32" s="3" t="n">
        <f aca="false">($C$28+$C$29+$C$30+$C$31+$C$32+$C$33)/6</f>
        <v>33.805</v>
      </c>
      <c r="F32" s="3" t="n">
        <f aca="false">($D$28+$D$29+$D$31+$D$33)/4</f>
        <v>51.3075</v>
      </c>
      <c r="H32" s="3"/>
      <c r="K32" s="4"/>
      <c r="L32" s="4"/>
      <c r="M32" s="4"/>
    </row>
    <row r="33" customFormat="false" ht="15" hidden="false" customHeight="false" outlineLevel="0" collapsed="false">
      <c r="A33" s="0" t="s">
        <v>49</v>
      </c>
      <c r="B33" s="0" t="s">
        <v>44</v>
      </c>
      <c r="C33" s="3" t="n">
        <v>44.69</v>
      </c>
      <c r="D33" s="3" t="n">
        <v>44.69</v>
      </c>
      <c r="E33" s="3" t="n">
        <f aca="false">($C$28+$C$29+$C$30+$C$31+$C$32+$C$33)/6</f>
        <v>33.805</v>
      </c>
      <c r="F33" s="3" t="n">
        <f aca="false">($D$28+$D$29+$D$31+$D$33)/4</f>
        <v>51.3075</v>
      </c>
      <c r="H33" s="3"/>
      <c r="I33" s="4"/>
      <c r="K33" s="4"/>
      <c r="L33" s="4"/>
      <c r="M33" s="4"/>
    </row>
    <row r="34" customFormat="false" ht="15" hidden="false" customHeight="false" outlineLevel="0" collapsed="false">
      <c r="A34" s="0" t="s">
        <v>50</v>
      </c>
      <c r="B34" s="0" t="s">
        <v>51</v>
      </c>
      <c r="C34" s="3" t="n">
        <v>58.19</v>
      </c>
      <c r="D34" s="3" t="n">
        <v>58.19</v>
      </c>
      <c r="E34" s="3" t="n">
        <v>58.19</v>
      </c>
      <c r="F34" s="3" t="n">
        <v>58.19</v>
      </c>
      <c r="K34" s="4"/>
      <c r="L34" s="4"/>
      <c r="M34" s="4"/>
    </row>
    <row r="35" customFormat="false" ht="15" hidden="false" customHeight="false" outlineLevel="0" collapsed="false">
      <c r="A35" s="0" t="s">
        <v>52</v>
      </c>
      <c r="B35" s="0" t="s">
        <v>53</v>
      </c>
      <c r="C35" s="3" t="n">
        <v>65</v>
      </c>
      <c r="D35" s="2" t="s">
        <v>8</v>
      </c>
      <c r="E35" s="1" t="n">
        <f aca="false">($C$35+$C$36+$C$37+$C$38)/4</f>
        <v>45.93</v>
      </c>
      <c r="F35" s="3" t="n">
        <v>62.31</v>
      </c>
      <c r="G35" s="3"/>
      <c r="K35" s="4"/>
      <c r="L35" s="4"/>
      <c r="M35" s="4"/>
    </row>
    <row r="36" customFormat="false" ht="15" hidden="false" customHeight="false" outlineLevel="0" collapsed="false">
      <c r="A36" s="0" t="s">
        <v>54</v>
      </c>
      <c r="B36" s="0" t="s">
        <v>53</v>
      </c>
      <c r="C36" s="3" t="n">
        <v>62.31</v>
      </c>
      <c r="D36" s="3" t="n">
        <v>62.31</v>
      </c>
      <c r="E36" s="1" t="n">
        <f aca="false">($C$35+$C$36+$C$37+$C$38)/4</f>
        <v>45.93</v>
      </c>
      <c r="F36" s="3" t="n">
        <v>62.31</v>
      </c>
      <c r="K36" s="4"/>
      <c r="L36" s="4"/>
      <c r="M36" s="4"/>
    </row>
    <row r="37" customFormat="false" ht="15" hidden="false" customHeight="false" outlineLevel="0" collapsed="false">
      <c r="A37" s="0" t="s">
        <v>55</v>
      </c>
      <c r="B37" s="0" t="s">
        <v>53</v>
      </c>
      <c r="C37" s="3" t="n">
        <v>49.6</v>
      </c>
      <c r="D37" s="2" t="s">
        <v>8</v>
      </c>
      <c r="E37" s="1" t="n">
        <f aca="false">($C$35+$C$36+$C$37+$C$38)/4</f>
        <v>45.93</v>
      </c>
      <c r="F37" s="3" t="n">
        <v>62.31</v>
      </c>
      <c r="G37" s="3"/>
      <c r="H37" s="3"/>
      <c r="K37" s="4"/>
      <c r="L37" s="4"/>
      <c r="M37" s="4"/>
    </row>
    <row r="38" customFormat="false" ht="15" hidden="false" customHeight="false" outlineLevel="0" collapsed="false">
      <c r="A38" s="0" t="s">
        <v>56</v>
      </c>
      <c r="B38" s="0" t="s">
        <v>53</v>
      </c>
      <c r="C38" s="3" t="n">
        <v>6.81</v>
      </c>
      <c r="D38" s="2" t="s">
        <v>8</v>
      </c>
      <c r="E38" s="1" t="n">
        <f aca="false">($C$35+$C$36+$C$37+$C$38)/4</f>
        <v>45.93</v>
      </c>
      <c r="F38" s="3" t="n">
        <v>62.31</v>
      </c>
      <c r="K38" s="4"/>
      <c r="L38" s="4"/>
      <c r="M38" s="4"/>
    </row>
    <row r="39" customFormat="false" ht="15" hidden="false" customHeight="false" outlineLevel="0" collapsed="false">
      <c r="A39" s="0" t="s">
        <v>57</v>
      </c>
      <c r="B39" s="0" t="s">
        <v>58</v>
      </c>
      <c r="C39" s="3" t="n">
        <v>50</v>
      </c>
      <c r="D39" s="3" t="n">
        <v>150</v>
      </c>
      <c r="E39" s="1" t="n">
        <f aca="false">($C$39+$C$40+$C$41+$C$42)/4</f>
        <v>41.9375</v>
      </c>
      <c r="F39" s="3" t="n">
        <v>150</v>
      </c>
      <c r="K39" s="4"/>
      <c r="L39" s="4"/>
      <c r="M39" s="4"/>
    </row>
    <row r="40" customFormat="false" ht="15" hidden="false" customHeight="false" outlineLevel="0" collapsed="false">
      <c r="A40" s="0" t="s">
        <v>59</v>
      </c>
      <c r="B40" s="0" t="s">
        <v>58</v>
      </c>
      <c r="C40" s="3" t="n">
        <v>70</v>
      </c>
      <c r="D40" s="2" t="s">
        <v>8</v>
      </c>
      <c r="E40" s="1" t="n">
        <f aca="false">($C$39+$C$40+$C$41+$C$42)/4</f>
        <v>41.9375</v>
      </c>
      <c r="F40" s="3" t="n">
        <v>150</v>
      </c>
      <c r="K40" s="4"/>
      <c r="L40" s="4"/>
      <c r="M40" s="4"/>
    </row>
    <row r="41" customFormat="false" ht="15" hidden="false" customHeight="false" outlineLevel="0" collapsed="false">
      <c r="A41" s="0" t="s">
        <v>60</v>
      </c>
      <c r="B41" s="0" t="s">
        <v>58</v>
      </c>
      <c r="C41" s="3" t="n">
        <v>29.25</v>
      </c>
      <c r="D41" s="2" t="s">
        <v>8</v>
      </c>
      <c r="E41" s="1" t="n">
        <f aca="false">($C$39+$C$40+$C$41+$C$42)/4</f>
        <v>41.9375</v>
      </c>
      <c r="F41" s="3" t="n">
        <v>150</v>
      </c>
      <c r="H41" s="3"/>
      <c r="I41" s="4"/>
      <c r="K41" s="4"/>
      <c r="L41" s="4"/>
      <c r="M41" s="4"/>
    </row>
    <row r="42" customFormat="false" ht="15" hidden="false" customHeight="false" outlineLevel="0" collapsed="false">
      <c r="A42" s="0" t="s">
        <v>61</v>
      </c>
      <c r="B42" s="0" t="s">
        <v>58</v>
      </c>
      <c r="C42" s="3" t="n">
        <v>18.5</v>
      </c>
      <c r="D42" s="3" t="n">
        <v>1850</v>
      </c>
      <c r="E42" s="1" t="n">
        <f aca="false">($C$39+$C$40+$C$41+$C$42)/4</f>
        <v>41.9375</v>
      </c>
      <c r="F42" s="3" t="n">
        <v>150</v>
      </c>
      <c r="K42" s="4"/>
      <c r="L42" s="4"/>
      <c r="M42" s="4"/>
    </row>
    <row r="43" customFormat="false" ht="15" hidden="false" customHeight="false" outlineLevel="0" collapsed="false">
      <c r="A43" s="0" t="s">
        <v>62</v>
      </c>
      <c r="B43" s="0" t="s">
        <v>63</v>
      </c>
      <c r="C43" s="3" t="n">
        <v>24</v>
      </c>
      <c r="D43" s="3" t="n">
        <v>24</v>
      </c>
      <c r="E43" s="3" t="n">
        <f aca="false">($C$43+$C$44+$C$45)/3</f>
        <v>55.0333333333333</v>
      </c>
      <c r="F43" s="3" t="n">
        <f aca="false">($D$43+$D$44+$D$45)/3</f>
        <v>99.5066666666667</v>
      </c>
      <c r="K43" s="4"/>
      <c r="L43" s="4"/>
      <c r="M43" s="4"/>
    </row>
    <row r="44" customFormat="false" ht="15" hidden="false" customHeight="false" outlineLevel="0" collapsed="false">
      <c r="A44" s="0" t="s">
        <v>64</v>
      </c>
      <c r="B44" s="0" t="s">
        <v>63</v>
      </c>
      <c r="C44" s="3" t="n">
        <v>38</v>
      </c>
      <c r="D44" s="3" t="n">
        <v>38</v>
      </c>
      <c r="E44" s="3" t="n">
        <f aca="false">($C$43+$C$44+$C$45)/3</f>
        <v>55.0333333333333</v>
      </c>
      <c r="F44" s="3" t="n">
        <f aca="false">($D$43+$D$44+$D$45)/3</f>
        <v>99.5066666666667</v>
      </c>
      <c r="H44" s="3"/>
      <c r="I44" s="4"/>
      <c r="K44" s="4"/>
      <c r="L44" s="4"/>
      <c r="M44" s="4"/>
    </row>
    <row r="45" customFormat="false" ht="15" hidden="false" customHeight="false" outlineLevel="0" collapsed="false">
      <c r="A45" s="0" t="s">
        <v>65</v>
      </c>
      <c r="B45" s="0" t="s">
        <v>63</v>
      </c>
      <c r="C45" s="3" t="n">
        <v>103.1</v>
      </c>
      <c r="D45" s="3" t="n">
        <v>236.52</v>
      </c>
      <c r="E45" s="3" t="n">
        <f aca="false">($C$43+$C$44+$C$45)/3</f>
        <v>55.0333333333333</v>
      </c>
      <c r="F45" s="3" t="n">
        <f aca="false">($D$43+$D$44+$D$45)/3</f>
        <v>99.5066666666667</v>
      </c>
      <c r="K45" s="4"/>
      <c r="L45" s="4"/>
      <c r="M45" s="4"/>
    </row>
    <row r="46" customFormat="false" ht="15" hidden="false" customHeight="false" outlineLevel="0" collapsed="false">
      <c r="A46" s="0" t="s">
        <v>66</v>
      </c>
      <c r="B46" s="0" t="s">
        <v>67</v>
      </c>
      <c r="C46" s="3" t="n">
        <v>70</v>
      </c>
      <c r="D46" s="2" t="s">
        <v>8</v>
      </c>
      <c r="E46" s="1" t="n">
        <f aca="false">($C$46+$C$47+$C$48)/3</f>
        <v>63.1066666666667</v>
      </c>
      <c r="F46" s="3" t="n">
        <f aca="false">($D$47+$D$48)/2</f>
        <v>73.975</v>
      </c>
      <c r="K46" s="4"/>
      <c r="L46" s="4"/>
      <c r="M46" s="4"/>
    </row>
    <row r="47" customFormat="false" ht="15" hidden="false" customHeight="false" outlineLevel="0" collapsed="false">
      <c r="A47" s="0" t="s">
        <v>68</v>
      </c>
      <c r="B47" s="0" t="s">
        <v>67</v>
      </c>
      <c r="C47" s="3" t="n">
        <v>46.32</v>
      </c>
      <c r="D47" s="3" t="n">
        <v>46.32</v>
      </c>
      <c r="E47" s="1" t="n">
        <f aca="false">($C$46+$C$47+$C$48)/3</f>
        <v>63.1066666666667</v>
      </c>
      <c r="F47" s="3" t="n">
        <f aca="false">($D$47+$D$48)/2</f>
        <v>73.975</v>
      </c>
    </row>
    <row r="48" customFormat="false" ht="15" hidden="false" customHeight="false" outlineLevel="0" collapsed="false">
      <c r="A48" s="0" t="s">
        <v>69</v>
      </c>
      <c r="B48" s="0" t="s">
        <v>67</v>
      </c>
      <c r="C48" s="3" t="n">
        <v>73</v>
      </c>
      <c r="D48" s="3" t="n">
        <v>101.63</v>
      </c>
      <c r="E48" s="1" t="n">
        <f aca="false">($C$46+$C$47+$C$48)/3</f>
        <v>63.1066666666667</v>
      </c>
      <c r="F48" s="3" t="n">
        <f aca="false">($D$47+$D$48)/2</f>
        <v>73.975</v>
      </c>
      <c r="G48" s="3"/>
      <c r="K48" s="4"/>
      <c r="L48" s="4"/>
      <c r="M48" s="4"/>
    </row>
    <row r="49" customFormat="false" ht="15" hidden="false" customHeight="false" outlineLevel="0" collapsed="false">
      <c r="A49" s="0" t="s">
        <v>70</v>
      </c>
      <c r="B49" s="0" t="s">
        <v>71</v>
      </c>
      <c r="C49" s="3" t="n">
        <v>45</v>
      </c>
      <c r="D49" s="3" t="n">
        <v>70</v>
      </c>
      <c r="E49" s="1" t="n">
        <f aca="false">($C$49+$C$50+$C$51+$C$52+$C$53+$C$54)/6</f>
        <v>39.8133333333333</v>
      </c>
      <c r="F49" s="3" t="n">
        <f aca="false">($D$49+$D$54)/2</f>
        <v>142.315</v>
      </c>
      <c r="K49" s="4"/>
      <c r="L49" s="4"/>
      <c r="M49" s="4"/>
    </row>
    <row r="50" customFormat="false" ht="15" hidden="false" customHeight="false" outlineLevel="0" collapsed="false">
      <c r="A50" s="0" t="s">
        <v>72</v>
      </c>
      <c r="B50" s="0" t="s">
        <v>71</v>
      </c>
      <c r="C50" s="3" t="n">
        <v>30</v>
      </c>
      <c r="D50" s="2" t="s">
        <v>8</v>
      </c>
      <c r="E50" s="1" t="n">
        <f aca="false">($C$49+$C$50+$C$51+$C$52+$C$53+$C$54)/6</f>
        <v>39.8133333333333</v>
      </c>
      <c r="F50" s="3" t="n">
        <f aca="false">($D$49+$D$54)/2</f>
        <v>142.315</v>
      </c>
      <c r="H50" s="3"/>
      <c r="I50" s="4"/>
      <c r="J50" s="4"/>
      <c r="K50" s="4"/>
      <c r="L50" s="4"/>
      <c r="M50" s="4"/>
    </row>
    <row r="51" customFormat="false" ht="15" hidden="false" customHeight="false" outlineLevel="0" collapsed="false">
      <c r="A51" s="0" t="s">
        <v>73</v>
      </c>
      <c r="B51" s="0" t="s">
        <v>71</v>
      </c>
      <c r="C51" s="3" t="n">
        <v>30</v>
      </c>
      <c r="D51" s="2" t="s">
        <v>8</v>
      </c>
      <c r="E51" s="1" t="n">
        <f aca="false">($C$49+$C$50+$C$51+$C$52+$C$53+$C$54)/6</f>
        <v>39.8133333333333</v>
      </c>
      <c r="F51" s="3" t="n">
        <f aca="false">($D$49+$D$54)/2</f>
        <v>142.315</v>
      </c>
      <c r="H51" s="3"/>
      <c r="I51" s="4"/>
      <c r="K51" s="4"/>
      <c r="L51" s="4"/>
      <c r="M51" s="4"/>
    </row>
    <row r="52" customFormat="false" ht="15" hidden="false" customHeight="false" outlineLevel="0" collapsed="false">
      <c r="A52" s="0" t="s">
        <v>74</v>
      </c>
      <c r="B52" s="0" t="s">
        <v>71</v>
      </c>
      <c r="C52" s="3" t="n">
        <v>31.5</v>
      </c>
      <c r="D52" s="2" t="s">
        <v>8</v>
      </c>
      <c r="E52" s="1" t="n">
        <f aca="false">($C$49+$C$50+$C$51+$C$52+$C$53+$C$54)/6</f>
        <v>39.8133333333333</v>
      </c>
      <c r="F52" s="3" t="n">
        <f aca="false">($D$49+$D$54)/2</f>
        <v>142.315</v>
      </c>
      <c r="H52" s="3"/>
      <c r="I52" s="4"/>
      <c r="K52" s="4"/>
      <c r="L52" s="4"/>
      <c r="M52" s="4"/>
    </row>
    <row r="53" customFormat="false" ht="15" hidden="false" customHeight="false" outlineLevel="0" collapsed="false">
      <c r="A53" s="0" t="s">
        <v>75</v>
      </c>
      <c r="B53" s="0" t="s">
        <v>71</v>
      </c>
      <c r="C53" s="3" t="n">
        <v>50.4</v>
      </c>
      <c r="D53" s="2" t="s">
        <v>8</v>
      </c>
      <c r="E53" s="1" t="n">
        <f aca="false">($C$49+$C$50+$C$51+$C$52+$C$53+$C$54)/6</f>
        <v>39.8133333333333</v>
      </c>
      <c r="F53" s="3" t="n">
        <f aca="false">($D$49+$D$54)/2</f>
        <v>142.315</v>
      </c>
      <c r="H53" s="3"/>
      <c r="I53" s="4"/>
      <c r="K53" s="4"/>
      <c r="L53" s="4"/>
      <c r="M53" s="4"/>
    </row>
    <row r="54" customFormat="false" ht="15" hidden="false" customHeight="false" outlineLevel="0" collapsed="false">
      <c r="A54" s="0" t="s">
        <v>76</v>
      </c>
      <c r="B54" s="0" t="s">
        <v>71</v>
      </c>
      <c r="C54" s="3" t="n">
        <v>51.98</v>
      </c>
      <c r="D54" s="3" t="n">
        <v>214.63</v>
      </c>
      <c r="E54" s="1" t="n">
        <f aca="false">($C$49+$C$50+$C$51+$C$52+$C$53+$C$54)/6</f>
        <v>39.8133333333333</v>
      </c>
      <c r="F54" s="3" t="n">
        <f aca="false">($D$49+$D$54)/2</f>
        <v>142.315</v>
      </c>
      <c r="H54" s="3"/>
      <c r="I54" s="4"/>
      <c r="K54" s="4"/>
      <c r="L54" s="4"/>
      <c r="M54" s="4"/>
    </row>
    <row r="55" customFormat="false" ht="15" hidden="false" customHeight="false" outlineLevel="0" collapsed="false">
      <c r="A55" s="0" t="s">
        <v>77</v>
      </c>
      <c r="B55" s="0" t="s">
        <v>78</v>
      </c>
      <c r="C55" s="3" t="n">
        <v>37.49</v>
      </c>
      <c r="D55" s="3" t="n">
        <v>37.49</v>
      </c>
      <c r="E55" s="1" t="n">
        <f aca="false">($C$55+$C$56+$C$57+$C$58)/4</f>
        <v>58.535</v>
      </c>
      <c r="F55" s="1" t="n">
        <f aca="false">($D$55+$D$56+$D$57)/3</f>
        <v>53.0466666666667</v>
      </c>
      <c r="G55" s="3"/>
      <c r="H55" s="3"/>
      <c r="I55" s="4"/>
      <c r="K55" s="4"/>
      <c r="L55" s="4"/>
      <c r="M55" s="4"/>
    </row>
    <row r="56" customFormat="false" ht="15" hidden="false" customHeight="false" outlineLevel="0" collapsed="false">
      <c r="A56" s="0" t="s">
        <v>79</v>
      </c>
      <c r="B56" s="0" t="s">
        <v>78</v>
      </c>
      <c r="C56" s="3" t="n">
        <v>76.65</v>
      </c>
      <c r="D56" s="3" t="n">
        <v>76.65</v>
      </c>
      <c r="E56" s="1" t="n">
        <f aca="false">($C$55+$C$56+$C$57+$C$58)/4</f>
        <v>58.535</v>
      </c>
      <c r="F56" s="1" t="n">
        <f aca="false">($D$55+$D$56+$D$57)/3</f>
        <v>53.0466666666667</v>
      </c>
    </row>
    <row r="57" customFormat="false" ht="15" hidden="false" customHeight="false" outlineLevel="0" collapsed="false">
      <c r="A57" s="0" t="s">
        <v>80</v>
      </c>
      <c r="B57" s="0" t="s">
        <v>78</v>
      </c>
      <c r="C57" s="3" t="n">
        <v>30</v>
      </c>
      <c r="D57" s="3" t="n">
        <v>45</v>
      </c>
      <c r="E57" s="1" t="n">
        <f aca="false">($C$55+$C$56+$C$57+$C$58)/4</f>
        <v>58.535</v>
      </c>
      <c r="F57" s="1" t="n">
        <f aca="false">($D$55+$D$56+$D$57)/3</f>
        <v>53.0466666666667</v>
      </c>
      <c r="K57" s="4"/>
      <c r="L57" s="4"/>
      <c r="M57" s="4"/>
    </row>
    <row r="58" customFormat="false" ht="15" hidden="false" customHeight="false" outlineLevel="0" collapsed="false">
      <c r="A58" s="0" t="s">
        <v>81</v>
      </c>
      <c r="B58" s="0" t="s">
        <v>78</v>
      </c>
      <c r="C58" s="3" t="n">
        <v>90</v>
      </c>
      <c r="D58" s="2" t="s">
        <v>8</v>
      </c>
      <c r="E58" s="1" t="n">
        <f aca="false">($C$55+$C$56+$C$57+$C$58)/4</f>
        <v>58.535</v>
      </c>
      <c r="F58" s="1" t="n">
        <f aca="false">($D$55+$D$56+$D$57)/3</f>
        <v>53.0466666666667</v>
      </c>
      <c r="G58" s="3"/>
      <c r="K58" s="4"/>
      <c r="L58" s="4"/>
      <c r="M58" s="4"/>
    </row>
    <row r="59" customFormat="false" ht="15" hidden="false" customHeight="false" outlineLevel="0" collapsed="false">
      <c r="A59" s="0" t="s">
        <v>82</v>
      </c>
      <c r="B59" s="0" t="s">
        <v>83</v>
      </c>
      <c r="C59" s="3" t="n">
        <v>68.8</v>
      </c>
      <c r="D59" s="2" t="s">
        <v>8</v>
      </c>
      <c r="E59" s="5" t="n">
        <f aca="false">($C$59+$C$61+$C$62+$C$63+$C$64+$C$65+$C$66+$C$67)/8</f>
        <v>99.80625</v>
      </c>
      <c r="F59" s="3" t="n">
        <f aca="false">($D$60+$D$61+$D$62+$D$64+$D$66+$D$67)/6</f>
        <v>159.843333333333</v>
      </c>
      <c r="G59" s="3"/>
      <c r="K59" s="4"/>
      <c r="L59" s="4"/>
      <c r="M59" s="4"/>
    </row>
    <row r="60" customFormat="false" ht="15" hidden="false" customHeight="false" outlineLevel="0" collapsed="false">
      <c r="A60" s="0" t="s">
        <v>84</v>
      </c>
      <c r="B60" s="0" t="s">
        <v>83</v>
      </c>
      <c r="C60" s="0" t="s">
        <v>8</v>
      </c>
      <c r="D60" s="3" t="n">
        <v>36.36</v>
      </c>
      <c r="E60" s="5" t="n">
        <f aca="false">($C$59+$C$61+$C$62+$C$63+$C$64+$C$65+$C$66+$C$67)/8</f>
        <v>99.80625</v>
      </c>
      <c r="F60" s="3" t="n">
        <f aca="false">($D$60+$D$61+$D$62+$D$64+$D$66+$D$67)/6</f>
        <v>159.843333333333</v>
      </c>
      <c r="G60" s="2" t="s">
        <v>85</v>
      </c>
      <c r="K60" s="4"/>
      <c r="L60" s="4"/>
      <c r="M60" s="4"/>
    </row>
    <row r="61" customFormat="false" ht="15" hidden="false" customHeight="false" outlineLevel="0" collapsed="false">
      <c r="A61" s="0" t="s">
        <v>86</v>
      </c>
      <c r="B61" s="0" t="s">
        <v>83</v>
      </c>
      <c r="C61" s="3" t="n">
        <v>284</v>
      </c>
      <c r="D61" s="3" t="n">
        <v>284</v>
      </c>
      <c r="E61" s="5" t="n">
        <f aca="false">($C$59+$C$61+$C$62+$C$63+$C$64+$C$65+$C$66+$C$67)/8</f>
        <v>99.80625</v>
      </c>
      <c r="F61" s="3" t="n">
        <f aca="false">($D$60+$D$61+$D$62+$D$64+$D$66+$D$67)/6</f>
        <v>159.843333333333</v>
      </c>
      <c r="K61" s="4"/>
      <c r="L61" s="4"/>
      <c r="M61" s="4"/>
    </row>
    <row r="62" customFormat="false" ht="15" hidden="false" customHeight="false" outlineLevel="0" collapsed="false">
      <c r="A62" s="0" t="s">
        <v>87</v>
      </c>
      <c r="B62" s="0" t="s">
        <v>83</v>
      </c>
      <c r="C62" s="3" t="n">
        <v>88.2</v>
      </c>
      <c r="D62" s="3" t="n">
        <v>371.5</v>
      </c>
      <c r="E62" s="5" t="n">
        <f aca="false">($C$59+$C$61+$C$62+$C$63+$C$64+$C$65+$C$66+$C$67)/8</f>
        <v>99.80625</v>
      </c>
      <c r="F62" s="3" t="n">
        <f aca="false">($D$60+$D$61+$D$62+$D$64+$D$66+$D$67)/6</f>
        <v>159.843333333333</v>
      </c>
      <c r="K62" s="4"/>
      <c r="L62" s="4"/>
      <c r="M62" s="4"/>
    </row>
    <row r="63" customFormat="false" ht="15" hidden="false" customHeight="false" outlineLevel="0" collapsed="false">
      <c r="A63" s="0" t="s">
        <v>88</v>
      </c>
      <c r="B63" s="0" t="s">
        <v>83</v>
      </c>
      <c r="C63" s="3" t="n">
        <v>56</v>
      </c>
      <c r="D63" s="2" t="s">
        <v>8</v>
      </c>
      <c r="E63" s="5" t="n">
        <f aca="false">($C$59+$C$61+$C$62+$C$63+$C$64+$C$65+$C$66+$C$67)/8</f>
        <v>99.80625</v>
      </c>
      <c r="F63" s="3" t="n">
        <f aca="false">($D$60+$D$61+$D$62+$D$64+$D$66+$D$67)/6</f>
        <v>159.843333333333</v>
      </c>
      <c r="K63" s="4"/>
      <c r="L63" s="4"/>
      <c r="M63" s="4"/>
    </row>
    <row r="64" customFormat="false" ht="15" hidden="false" customHeight="false" outlineLevel="0" collapsed="false">
      <c r="A64" s="0" t="s">
        <v>89</v>
      </c>
      <c r="B64" s="0" t="s">
        <v>83</v>
      </c>
      <c r="C64" s="3" t="n">
        <v>120.98</v>
      </c>
      <c r="D64" s="3" t="n">
        <v>120.98</v>
      </c>
      <c r="E64" s="5" t="n">
        <f aca="false">($C$59+$C$61+$C$62+$C$63+$C$64+$C$65+$C$66+$C$67)/8</f>
        <v>99.80625</v>
      </c>
      <c r="F64" s="3" t="n">
        <f aca="false">($D$60+$D$61+$D$62+$D$64+$D$66+$D$67)/6</f>
        <v>159.843333333333</v>
      </c>
      <c r="H64" s="3"/>
      <c r="K64" s="4"/>
      <c r="L64" s="4"/>
      <c r="M64" s="4"/>
    </row>
    <row r="65" customFormat="false" ht="15" hidden="false" customHeight="false" outlineLevel="0" collapsed="false">
      <c r="A65" s="0" t="s">
        <v>90</v>
      </c>
      <c r="B65" s="0" t="s">
        <v>83</v>
      </c>
      <c r="C65" s="3" t="n">
        <v>47.25</v>
      </c>
      <c r="D65" s="2" t="s">
        <v>8</v>
      </c>
      <c r="E65" s="5" t="n">
        <f aca="false">($C$59+$C$61+$C$62+$C$63+$C$64+$C$65+$C$66+$C$67)/8</f>
        <v>99.80625</v>
      </c>
      <c r="F65" s="3" t="n">
        <f aca="false">($D$60+$D$61+$D$62+$D$64+$D$66+$D$67)/6</f>
        <v>159.843333333333</v>
      </c>
      <c r="K65" s="4"/>
      <c r="L65" s="4"/>
      <c r="M65" s="4"/>
    </row>
    <row r="66" customFormat="false" ht="15" hidden="false" customHeight="false" outlineLevel="0" collapsed="false">
      <c r="A66" s="0" t="s">
        <v>91</v>
      </c>
      <c r="B66" s="0" t="s">
        <v>83</v>
      </c>
      <c r="C66" s="3" t="n">
        <v>81.22</v>
      </c>
      <c r="D66" s="3" t="n">
        <v>81.22</v>
      </c>
      <c r="E66" s="5" t="n">
        <f aca="false">($C$59+$C$61+$C$62+$C$63+$C$64+$C$65+$C$66+$C$67)/8</f>
        <v>99.80625</v>
      </c>
      <c r="F66" s="3" t="n">
        <f aca="false">($D$60+$D$61+$D$62+$D$64+$D$66+$D$67)/6</f>
        <v>159.843333333333</v>
      </c>
      <c r="K66" s="4"/>
      <c r="L66" s="4"/>
      <c r="M66" s="4"/>
    </row>
    <row r="67" customFormat="false" ht="15" hidden="false" customHeight="false" outlineLevel="0" collapsed="false">
      <c r="A67" s="0" t="s">
        <v>92</v>
      </c>
      <c r="B67" s="0" t="s">
        <v>83</v>
      </c>
      <c r="C67" s="3" t="n">
        <v>52</v>
      </c>
      <c r="D67" s="3" t="n">
        <v>65</v>
      </c>
      <c r="E67" s="5" t="n">
        <f aca="false">($C$59+$C$61+$C$62+$C$63+$C$64+$C$65+$C$66+$C$67)/8</f>
        <v>99.80625</v>
      </c>
      <c r="F67" s="3" t="n">
        <f aca="false">($D$60+$D$61+$D$62+$D$64+$D$66+$D$67)/6</f>
        <v>159.843333333333</v>
      </c>
      <c r="K67" s="4"/>
      <c r="L67" s="4"/>
      <c r="M67" s="4"/>
    </row>
    <row r="68" customFormat="false" ht="15" hidden="false" customHeight="false" outlineLevel="0" collapsed="false">
      <c r="A68" s="0" t="s">
        <v>93</v>
      </c>
      <c r="B68" s="0" t="s">
        <v>94</v>
      </c>
      <c r="C68" s="3" t="n">
        <v>57</v>
      </c>
      <c r="D68" s="3" t="n">
        <v>57</v>
      </c>
      <c r="E68" s="1" t="n">
        <f aca="false">($C$68+$C$69+$C$70+$C$71+$C$72)/5</f>
        <v>43.752</v>
      </c>
      <c r="F68" s="3" t="n">
        <f aca="false">($D$68+$D$70+$D$71+$D$72)/4</f>
        <v>54.395</v>
      </c>
      <c r="K68" s="4"/>
      <c r="L68" s="4"/>
      <c r="M68" s="4"/>
    </row>
    <row r="69" customFormat="false" ht="15" hidden="false" customHeight="false" outlineLevel="0" collapsed="false">
      <c r="A69" s="0" t="s">
        <v>95</v>
      </c>
      <c r="B69" s="0" t="s">
        <v>94</v>
      </c>
      <c r="C69" s="3" t="n">
        <v>34.5</v>
      </c>
      <c r="D69" s="2" t="s">
        <v>8</v>
      </c>
      <c r="E69" s="1" t="n">
        <f aca="false">($C$68+$C$69+$C$70+$C$71+$C$72)/5</f>
        <v>43.752</v>
      </c>
      <c r="F69" s="3" t="n">
        <f aca="false">($D$68+$D$70+$D$71+$D$72)/4</f>
        <v>54.395</v>
      </c>
      <c r="K69" s="4"/>
      <c r="L69" s="4"/>
      <c r="M69" s="4"/>
    </row>
    <row r="70" customFormat="false" ht="15" hidden="false" customHeight="false" outlineLevel="0" collapsed="false">
      <c r="A70" s="0" t="s">
        <v>96</v>
      </c>
      <c r="B70" s="0" t="s">
        <v>94</v>
      </c>
      <c r="C70" s="3" t="n">
        <v>36.6</v>
      </c>
      <c r="D70" s="3" t="n">
        <v>44.1</v>
      </c>
      <c r="E70" s="1" t="n">
        <f aca="false">($C$68+$C$69+$C$70+$C$71+$C$72)/5</f>
        <v>43.752</v>
      </c>
      <c r="F70" s="3" t="n">
        <f aca="false">($D$68+$D$70+$D$71+$D$72)/4</f>
        <v>54.395</v>
      </c>
      <c r="K70" s="4"/>
      <c r="L70" s="4"/>
      <c r="M70" s="4"/>
    </row>
    <row r="71" customFormat="false" ht="15" hidden="false" customHeight="false" outlineLevel="0" collapsed="false">
      <c r="A71" s="0" t="s">
        <v>97</v>
      </c>
      <c r="B71" s="0" t="s">
        <v>94</v>
      </c>
      <c r="C71" s="3" t="n">
        <v>58.8</v>
      </c>
      <c r="D71" s="3" t="n">
        <v>58.8</v>
      </c>
      <c r="E71" s="1" t="n">
        <f aca="false">($C$68+$C$69+$C$70+$C$71+$C$72)/5</f>
        <v>43.752</v>
      </c>
      <c r="F71" s="3" t="n">
        <f aca="false">($D$68+$D$70+$D$71+$D$72)/4</f>
        <v>54.395</v>
      </c>
      <c r="G71" s="3"/>
      <c r="K71" s="4"/>
      <c r="L71" s="4"/>
      <c r="M71" s="4"/>
    </row>
    <row r="72" customFormat="false" ht="15" hidden="false" customHeight="false" outlineLevel="0" collapsed="false">
      <c r="A72" s="0" t="s">
        <v>98</v>
      </c>
      <c r="B72" s="0" t="s">
        <v>94</v>
      </c>
      <c r="C72" s="3" t="n">
        <v>31.86</v>
      </c>
      <c r="D72" s="3" t="n">
        <v>57.68</v>
      </c>
      <c r="E72" s="1" t="n">
        <f aca="false">($C$68+$C$69+$C$70+$C$71+$C$72)/5</f>
        <v>43.752</v>
      </c>
      <c r="F72" s="3" t="n">
        <f aca="false">($D$68+$D$70+$D$71+$D$72)/4</f>
        <v>54.395</v>
      </c>
      <c r="G72" s="3"/>
      <c r="K72" s="4"/>
      <c r="L72" s="4"/>
      <c r="M72" s="4"/>
    </row>
    <row r="73" customFormat="false" ht="15" hidden="false" customHeight="false" outlineLevel="0" collapsed="false">
      <c r="A73" s="0" t="s">
        <v>99</v>
      </c>
      <c r="B73" s="0" t="s">
        <v>100</v>
      </c>
      <c r="C73" s="3" t="n">
        <v>35.88</v>
      </c>
      <c r="D73" s="3" t="n">
        <v>35.88</v>
      </c>
      <c r="E73" s="1" t="n">
        <f aca="false">($C$73+$C$74)/2</f>
        <v>43.095</v>
      </c>
      <c r="F73" s="3" t="n">
        <f aca="false">($D$73+$D$74)/2</f>
        <v>43.095</v>
      </c>
      <c r="G73" s="3"/>
      <c r="K73" s="4"/>
      <c r="L73" s="4"/>
      <c r="M73" s="4"/>
    </row>
    <row r="74" customFormat="false" ht="15" hidden="false" customHeight="false" outlineLevel="0" collapsed="false">
      <c r="A74" s="0" t="s">
        <v>101</v>
      </c>
      <c r="B74" s="0" t="s">
        <v>100</v>
      </c>
      <c r="C74" s="3" t="n">
        <v>50.31</v>
      </c>
      <c r="D74" s="3" t="n">
        <v>50.31</v>
      </c>
      <c r="E74" s="1" t="n">
        <f aca="false">($C$73+$C$74)/2</f>
        <v>43.095</v>
      </c>
      <c r="F74" s="3" t="n">
        <f aca="false">($D$73+$D$74)/2</f>
        <v>43.095</v>
      </c>
      <c r="H74" s="3"/>
      <c r="I74" s="4"/>
      <c r="K74" s="4"/>
      <c r="L74" s="4"/>
      <c r="M74" s="4"/>
    </row>
    <row r="75" customFormat="false" ht="15" hidden="false" customHeight="false" outlineLevel="0" collapsed="false">
      <c r="A75" s="0" t="s">
        <v>102</v>
      </c>
      <c r="B75" s="0" t="s">
        <v>103</v>
      </c>
      <c r="C75" s="3" t="n">
        <v>36.8</v>
      </c>
      <c r="D75" s="3" t="n">
        <v>36.8</v>
      </c>
      <c r="E75" s="1" t="n">
        <f aca="false">($C$75+$C$76+$C$77)/3</f>
        <v>44.5966666666667</v>
      </c>
      <c r="F75" s="3" t="n">
        <f aca="false">($D$75+$D$77)/2</f>
        <v>39.395</v>
      </c>
      <c r="G75" s="3"/>
      <c r="K75" s="4"/>
      <c r="L75" s="4"/>
      <c r="M75" s="4"/>
    </row>
    <row r="76" customFormat="false" ht="15" hidden="false" customHeight="false" outlineLevel="0" collapsed="false">
      <c r="A76" s="0" t="s">
        <v>104</v>
      </c>
      <c r="B76" s="0" t="s">
        <v>103</v>
      </c>
      <c r="C76" s="3" t="n">
        <v>55</v>
      </c>
      <c r="D76" s="2" t="s">
        <v>8</v>
      </c>
      <c r="E76" s="1" t="n">
        <f aca="false">($C$75+$C$76+$C$77)/3</f>
        <v>44.5966666666667</v>
      </c>
      <c r="F76" s="3" t="n">
        <f aca="false">($D$75+$D$77)/2</f>
        <v>39.395</v>
      </c>
      <c r="G76" s="3"/>
      <c r="K76" s="4"/>
      <c r="L76" s="4"/>
      <c r="M76" s="4"/>
    </row>
    <row r="77" customFormat="false" ht="15" hidden="false" customHeight="false" outlineLevel="0" collapsed="false">
      <c r="A77" s="0" t="s">
        <v>105</v>
      </c>
      <c r="B77" s="0" t="s">
        <v>103</v>
      </c>
      <c r="C77" s="3" t="n">
        <v>41.99</v>
      </c>
      <c r="D77" s="3" t="n">
        <v>41.99</v>
      </c>
      <c r="E77" s="1" t="n">
        <f aca="false">($C$75+$C$76+$C$77)/3</f>
        <v>44.5966666666667</v>
      </c>
      <c r="F77" s="3" t="n">
        <f aca="false">($D$75+$D$77)/2</f>
        <v>39.395</v>
      </c>
      <c r="K77" s="4"/>
      <c r="L77" s="4"/>
      <c r="M77" s="4"/>
    </row>
    <row r="78" customFormat="false" ht="15" hidden="false" customHeight="false" outlineLevel="0" collapsed="false">
      <c r="E78" s="4"/>
      <c r="G78" s="3"/>
      <c r="K78" s="4"/>
      <c r="L78" s="4"/>
      <c r="M78" s="4"/>
    </row>
    <row r="79" customFormat="false" ht="15" hidden="false" customHeight="false" outlineLevel="0" collapsed="false">
      <c r="K79" s="4"/>
      <c r="L79" s="4"/>
      <c r="M79" s="4"/>
    </row>
  </sheetData>
  <autoFilter ref="B1:B78">
    <sortState ref="B2:B78">
      <sortCondition ref="A2:A78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2026-07-30T17:03:50Z</dcterms:created>
  <dc:creator>Galen Oston</dc:creator>
  <dc:description/>
  <dc:language>en-US</dc:language>
  <cp:lastModifiedBy>Sujaan Aryal</cp:lastModifiedBy>
  <dcterms:modified xsi:type="dcterms:W3CDTF">2026-08-07T21:36:41Z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